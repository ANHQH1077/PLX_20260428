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APLX\01. SVN\TichHopNguoc\KV2\20200630\"/>
    </mc:Choice>
  </mc:AlternateContent>
  <bookViews>
    <workbookView xWindow="7800" yWindow="7140" windowWidth="28035" windowHeight="14205" activeTab="2"/>
  </bookViews>
  <sheets>
    <sheet name="Tính VCF (tương tự như tra 54B)" sheetId="1" r:id="rId1"/>
    <sheet name="Bảng tra D15 (Bảng 53B)" sheetId="3" r:id="rId2"/>
    <sheet name="Sheet1" sheetId="4" r:id="rId3"/>
  </sheets>
  <calcPr calcId="162913"/>
</workbook>
</file>

<file path=xl/calcChain.xml><?xml version="1.0" encoding="utf-8"?>
<calcChain xmlns="http://schemas.openxmlformats.org/spreadsheetml/2006/main">
  <c r="P4" i="4" l="1"/>
  <c r="P5" i="4"/>
  <c r="P6" i="4"/>
  <c r="P7" i="4"/>
  <c r="P8" i="4"/>
  <c r="P9" i="4"/>
  <c r="P10" i="4"/>
  <c r="P11" i="4"/>
  <c r="P12" i="4"/>
  <c r="P13" i="4"/>
  <c r="P14" i="4"/>
  <c r="P3" i="4"/>
  <c r="O14" i="4"/>
  <c r="O3" i="4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N11" i="4"/>
  <c r="O11" i="4" s="1"/>
  <c r="N12" i="4"/>
  <c r="O12" i="4" s="1"/>
  <c r="N13" i="4"/>
  <c r="O13" i="4" s="1"/>
  <c r="N3" i="4"/>
  <c r="G7" i="1" l="1"/>
  <c r="C4" i="3" l="1"/>
  <c r="C4" i="1" l="1"/>
  <c r="F4" i="1" s="1"/>
  <c r="I4" i="1"/>
  <c r="C5" i="1"/>
  <c r="E5" i="1" s="1"/>
  <c r="I5" i="1"/>
  <c r="C6" i="1"/>
  <c r="E6" i="1" s="1"/>
  <c r="I6" i="1"/>
  <c r="C7" i="1"/>
  <c r="F7" i="1" s="1"/>
  <c r="I7" i="1"/>
  <c r="I3" i="1"/>
  <c r="C3" i="1"/>
  <c r="F6" i="1" l="1"/>
  <c r="G6" i="1" s="1"/>
  <c r="H6" i="1" s="1"/>
  <c r="F5" i="1"/>
  <c r="G5" i="1"/>
  <c r="H5" i="1" s="1"/>
  <c r="D5" i="1"/>
  <c r="E4" i="1"/>
  <c r="G4" i="1" s="1"/>
  <c r="H4" i="1" s="1"/>
  <c r="D4" i="1"/>
  <c r="E7" i="1"/>
  <c r="H7" i="1" s="1"/>
  <c r="D6" i="1"/>
  <c r="D7" i="1"/>
  <c r="E3" i="1"/>
  <c r="G3" i="1" s="1"/>
  <c r="H3" i="1" s="1"/>
  <c r="F3" i="1"/>
  <c r="D3" i="1"/>
</calcChain>
</file>

<file path=xl/sharedStrings.xml><?xml version="1.0" encoding="utf-8"?>
<sst xmlns="http://schemas.openxmlformats.org/spreadsheetml/2006/main" count="76" uniqueCount="69">
  <si>
    <t>R</t>
  </si>
  <si>
    <t>R1</t>
  </si>
  <si>
    <t>K</t>
  </si>
  <si>
    <t>L</t>
  </si>
  <si>
    <t>A</t>
  </si>
  <si>
    <t>P</t>
  </si>
  <si>
    <t>Nhiệt độ</t>
  </si>
  <si>
    <t>Tỷ trọng.</t>
  </si>
  <si>
    <t>Bảng tra VCF</t>
  </si>
  <si>
    <t>Dtt</t>
  </si>
  <si>
    <r>
      <t>VCF</t>
    </r>
    <r>
      <rPr>
        <b/>
        <vertAlign val="subscript"/>
        <sz val="13"/>
        <rFont val="Arial"/>
        <family val="2"/>
      </rPr>
      <t xml:space="preserve"> int</t>
    </r>
  </si>
  <si>
    <t>Ghi chú: Chỉ cần nhập nhiệt độ và Tỷ trọng 15, V.C.F sẽ tra tự động theo bảng tra 54B.</t>
  </si>
  <si>
    <t>Số lệnh xuất</t>
  </si>
  <si>
    <t>số xe</t>
  </si>
  <si>
    <t>Sl trên SAP</t>
  </si>
  <si>
    <t>Sl trên HTTG</t>
  </si>
  <si>
    <t>chênh lệch</t>
  </si>
  <si>
    <t>Tỷ trọng</t>
  </si>
  <si>
    <t>VCF</t>
  </si>
  <si>
    <t>VCF HTTG</t>
  </si>
  <si>
    <t>VCF1</t>
  </si>
  <si>
    <t>VCF2</t>
  </si>
  <si>
    <t>Dens1</t>
  </si>
  <si>
    <t> Dens2</t>
  </si>
  <si>
    <t>51D21851</t>
  </si>
  <si>
    <t>              24,615</t>
  </si>
  <si>
    <t>                24,613</t>
  </si>
  <si>
    <t>30,94</t>
  </si>
  <si>
    <t>51D21903</t>
  </si>
  <si>
    <t>31,03</t>
  </si>
  <si>
    <t>51D21956</t>
  </si>
  <si>
    <t>              24,603</t>
  </si>
  <si>
    <t>                24,600</t>
  </si>
  <si>
    <t>31,38</t>
  </si>
  <si>
    <t>51C86100</t>
  </si>
  <si>
    <t>31,53</t>
  </si>
  <si>
    <t>51C54464</t>
  </si>
  <si>
    <t>              24,598</t>
  </si>
  <si>
    <t>                24,595</t>
  </si>
  <si>
    <t>31,74</t>
  </si>
  <si>
    <t>51D37023</t>
  </si>
  <si>
    <t>              27,541</t>
  </si>
  <si>
    <t>                27,538</t>
  </si>
  <si>
    <t>32,05</t>
  </si>
  <si>
    <t>51C97144</t>
  </si>
  <si>
    <t>              27,535</t>
  </si>
  <si>
    <t>                27,532</t>
  </si>
  <si>
    <t>32,28</t>
  </si>
  <si>
    <t>51D54141</t>
  </si>
  <si>
    <t>              27,530</t>
  </si>
  <si>
    <t>                27,527</t>
  </si>
  <si>
    <t>32,57</t>
  </si>
  <si>
    <t>51C53762</t>
  </si>
  <si>
    <t>              24,573</t>
  </si>
  <si>
    <t>                24,570</t>
  </si>
  <si>
    <t>32,73</t>
  </si>
  <si>
    <t>51D09612</t>
  </si>
  <si>
    <t>              24,538</t>
  </si>
  <si>
    <t>                24,535</t>
  </si>
  <si>
    <t>34,26</t>
  </si>
  <si>
    <t>              24,530</t>
  </si>
  <si>
    <t>                24,528</t>
  </si>
  <si>
    <t>34,59</t>
  </si>
  <si>
    <t>Tổng cộng</t>
  </si>
  <si>
    <t>VCF0</t>
  </si>
  <si>
    <t>vcF làm tròn</t>
  </si>
  <si>
    <t>Công thức trên httg</t>
  </si>
  <si>
    <t>VCF  tính trong hàm</t>
  </si>
  <si>
    <t>VCF0= abs(VCF2-VCF1) /(Dens2-Dens1)
VCF= VCF1+VCF0*(Tỷ trọng  - Dens1)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</si>
</sst>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0"/>
    <numFmt numFmtId="165" formatCode="0.0000000"/>
    <numFmt numFmtId="166" formatCode="_(* #,##0.0000_);_(* \(#,##0.0000\);_(* &quot;-&quot;??_);_(@_)"/>
    <numFmt numFmtId="167" formatCode="_(* #,##0.00000_);_(* \(#,##0.00000\);_(* &quot;-&quot;??_);_(@_)"/>
    <numFmt numFmtId="168" formatCode="0.000000"/>
  </numFmts>
  <fonts count="12" x14ac:knownFonts="1">
    <font>
      <sz val="12"/>
      <color theme="1"/>
      <name val="Times New Roman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3"/>
      <color indexed="14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vertAlign val="subscript"/>
      <sz val="13"/>
      <name val="Arial"/>
      <family val="2"/>
    </font>
    <font>
      <i/>
      <sz val="13"/>
      <color theme="1"/>
      <name val="Arial"/>
      <family val="2"/>
    </font>
    <font>
      <sz val="12"/>
      <color theme="1"/>
      <name val="Times New Roman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01F1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9D08E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>
      <alignment horizontal="center" vertical="center"/>
    </xf>
    <xf numFmtId="1" fontId="4" fillId="0" borderId="0" xfId="0" applyNumberFormat="1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64" fontId="4" fillId="0" borderId="0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/>
    </xf>
    <xf numFmtId="1" fontId="4" fillId="0" borderId="2" xfId="0" applyNumberFormat="1" applyFont="1" applyFill="1" applyBorder="1" applyAlignment="1" applyProtection="1">
      <alignment horizontal="right" vertical="center"/>
    </xf>
    <xf numFmtId="0" fontId="4" fillId="0" borderId="2" xfId="0" applyFont="1" applyFill="1" applyBorder="1" applyAlignment="1" applyProtection="1">
      <alignment horizontal="right" vertical="center"/>
    </xf>
    <xf numFmtId="164" fontId="4" fillId="0" borderId="2" xfId="0" applyNumberFormat="1" applyFont="1" applyFill="1" applyBorder="1" applyAlignment="1" applyProtection="1">
      <alignment horizontal="right" vertical="center"/>
      <protection hidden="1"/>
    </xf>
    <xf numFmtId="0" fontId="2" fillId="0" borderId="0" xfId="0" applyFont="1"/>
    <xf numFmtId="164" fontId="2" fillId="0" borderId="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right"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0" fillId="0" borderId="2" xfId="0" applyBorder="1"/>
    <xf numFmtId="0" fontId="10" fillId="2" borderId="8" xfId="0" applyFont="1" applyFill="1" applyBorder="1" applyAlignment="1">
      <alignment horizontal="right" vertical="center" wrapText="1"/>
    </xf>
    <xf numFmtId="0" fontId="9" fillId="4" borderId="12" xfId="0" applyFont="1" applyFill="1" applyBorder="1" applyAlignment="1">
      <alignment vertical="center" wrapText="1"/>
    </xf>
    <xf numFmtId="164" fontId="10" fillId="4" borderId="2" xfId="0" applyNumberFormat="1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166" fontId="9" fillId="4" borderId="5" xfId="1" applyNumberFormat="1" applyFont="1" applyFill="1" applyBorder="1" applyAlignment="1">
      <alignment horizontal="center" vertical="center" wrapText="1"/>
    </xf>
    <xf numFmtId="166" fontId="9" fillId="4" borderId="11" xfId="1" applyNumberFormat="1" applyFont="1" applyFill="1" applyBorder="1" applyAlignment="1">
      <alignment vertical="center" wrapText="1"/>
    </xf>
    <xf numFmtId="166" fontId="10" fillId="4" borderId="2" xfId="0" applyNumberFormat="1" applyFont="1" applyFill="1" applyBorder="1" applyAlignment="1">
      <alignment vertical="center" wrapText="1"/>
    </xf>
    <xf numFmtId="166" fontId="0" fillId="0" borderId="0" xfId="0" applyNumberFormat="1"/>
    <xf numFmtId="166" fontId="10" fillId="5" borderId="7" xfId="0" applyNumberFormat="1" applyFont="1" applyFill="1" applyBorder="1" applyAlignment="1">
      <alignment horizontal="center" vertical="center" wrapText="1"/>
    </xf>
    <xf numFmtId="166" fontId="10" fillId="0" borderId="7" xfId="0" applyNumberFormat="1" applyFont="1" applyBorder="1" applyAlignment="1">
      <alignment horizontal="center" vertical="center" wrapText="1"/>
    </xf>
    <xf numFmtId="166" fontId="10" fillId="4" borderId="2" xfId="1" applyNumberFormat="1" applyFont="1" applyFill="1" applyBorder="1" applyAlignment="1">
      <alignment vertical="center" wrapText="1"/>
    </xf>
    <xf numFmtId="168" fontId="9" fillId="4" borderId="2" xfId="0" applyNumberFormat="1" applyFont="1" applyFill="1" applyBorder="1" applyAlignment="1">
      <alignment horizontal="center" vertical="center" wrapText="1"/>
    </xf>
    <xf numFmtId="168" fontId="0" fillId="0" borderId="2" xfId="0" applyNumberFormat="1" applyBorder="1"/>
    <xf numFmtId="168" fontId="0" fillId="0" borderId="0" xfId="0" applyNumberFormat="1"/>
    <xf numFmtId="167" fontId="0" fillId="0" borderId="2" xfId="1" applyNumberFormat="1" applyFont="1" applyBorder="1"/>
    <xf numFmtId="49" fontId="0" fillId="0" borderId="0" xfId="0" applyNumberFormat="1" applyAlignment="1">
      <alignment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165" fontId="0" fillId="2" borderId="2" xfId="0" applyNumberFormat="1" applyFill="1" applyBorder="1"/>
    <xf numFmtId="165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H7" sqref="H7"/>
    </sheetView>
  </sheetViews>
  <sheetFormatPr defaultColWidth="8.625" defaultRowHeight="16.5" x14ac:dyDescent="0.25"/>
  <cols>
    <col min="1" max="1" width="9.625" style="1" customWidth="1"/>
    <col min="2" max="2" width="10.875" style="1" customWidth="1"/>
    <col min="3" max="7" width="8.625" style="1" customWidth="1"/>
    <col min="8" max="8" width="11.625" style="1" customWidth="1"/>
    <col min="9" max="9" width="8.625" style="1" customWidth="1"/>
    <col min="10" max="16384" width="8.625" style="1"/>
  </cols>
  <sheetData>
    <row r="1" spans="1:17" ht="31.5" customHeight="1" x14ac:dyDescent="0.25">
      <c r="A1" s="51" t="s">
        <v>8</v>
      </c>
      <c r="B1" s="51"/>
      <c r="C1" s="51"/>
      <c r="D1" s="51"/>
      <c r="E1" s="51"/>
      <c r="F1" s="51"/>
      <c r="G1" s="51"/>
      <c r="H1" s="51"/>
    </row>
    <row r="2" spans="1:17" ht="26.45" customHeight="1" x14ac:dyDescent="0.25">
      <c r="A2" s="12" t="s">
        <v>6</v>
      </c>
      <c r="B2" s="12" t="s">
        <v>7</v>
      </c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4" t="s">
        <v>10</v>
      </c>
      <c r="I2" s="3" t="s">
        <v>5</v>
      </c>
    </row>
    <row r="3" spans="1:17" x14ac:dyDescent="0.25">
      <c r="A3" s="15">
        <v>29</v>
      </c>
      <c r="B3" s="15">
        <v>0.74319999999999997</v>
      </c>
      <c r="C3" s="16">
        <f>ROUND(B3/2*1000,0)*2</f>
        <v>744</v>
      </c>
      <c r="D3" s="17">
        <f>IF(C3&gt;=906,6.292,IF(C3&gt;=766,6.293,IF(C3&gt;=687,6.294,IF(C3&gt;=624,6.295,0))))</f>
        <v>6.2939999999999996</v>
      </c>
      <c r="E3" s="17">
        <f>IF(C3&lt;770.5,346.4228,IF(C3&lt;787.5,2680.3206,IF(C3&lt;838.5,594.5418,186.9696)))</f>
        <v>346.4228</v>
      </c>
      <c r="F3" s="17">
        <f>IF(C3&lt;770.5,0.4388,IF(C3&lt;787.5,-0.00336312,IF(C3&lt;838.5,0,0.4862)))</f>
        <v>0.43880000000000002</v>
      </c>
      <c r="G3" s="17">
        <f>IF(AND(C3&lt;787.5,C3&gt;=770.5),ROUND(ROUND(ROUND(E3/C3,8)/C3,10)+F3,7),ROUND(ROUND(ROUND(E3/C3,8)/C3,10)+ROUND(F3/C3,10),7))</f>
        <v>1.2156000000000001E-3</v>
      </c>
      <c r="H3" s="18">
        <f>IF(A3="","",ROUND(EXP(ROUND(-G3*I3*(1+0.8*G3*I3),8)),4))</f>
        <v>0.9829</v>
      </c>
      <c r="I3" s="5">
        <f>ROUND(A3*4,0)/4-15</f>
        <v>14</v>
      </c>
    </row>
    <row r="4" spans="1:17" x14ac:dyDescent="0.25">
      <c r="A4" s="15">
        <v>28.5</v>
      </c>
      <c r="B4" s="15">
        <v>0.74280000000000002</v>
      </c>
      <c r="C4" s="16">
        <f t="shared" ref="C4:C7" si="0">ROUND(B4/2*1000,0)*2</f>
        <v>742</v>
      </c>
      <c r="D4" s="17">
        <f t="shared" ref="D4:D7" si="1">IF(C4&gt;=906,6.292,IF(C4&gt;=766,6.293,IF(C4&gt;=687,6.294,IF(C4&gt;=624,6.295,0))))</f>
        <v>6.2939999999999996</v>
      </c>
      <c r="E4" s="17">
        <f t="shared" ref="E4:E7" si="2">IF(C4&lt;770.5,346.4228,IF(C4&lt;787.5,2680.3206,IF(C4&lt;838.5,594.5418,186.9696)))</f>
        <v>346.4228</v>
      </c>
      <c r="F4" s="17">
        <f t="shared" ref="F4:F7" si="3">IF(C4&lt;770.5,0.4388,IF(C4&lt;787.5,-0.00336312,IF(C4&lt;838.5,0,0.4862)))</f>
        <v>0.43880000000000002</v>
      </c>
      <c r="G4" s="17">
        <f t="shared" ref="G4:G6" si="4">IF(AND(C4&lt;787.5,C4&gt;=770.5),ROUND(ROUND(ROUND(E4/C4,8)/C4,10)+F4,7),ROUND(ROUND(ROUND(E4/C4,8)/C4,10)+ROUND(F4/C4,10),7))</f>
        <v>1.2206000000000001E-3</v>
      </c>
      <c r="H4" s="18">
        <f t="shared" ref="H4:H7" si="5">IF(A4="","",ROUND(EXP(ROUND(-G4*I4*(1+0.8*G4*I4),8)),4))</f>
        <v>0.98340000000000005</v>
      </c>
      <c r="I4" s="5">
        <f t="shared" ref="I4:I7" si="6">ROUND(A4*4,0)/4-15</f>
        <v>13.5</v>
      </c>
    </row>
    <row r="5" spans="1:17" x14ac:dyDescent="0.25">
      <c r="A5" s="15">
        <v>28.5</v>
      </c>
      <c r="B5" s="15">
        <v>0.74060000000000004</v>
      </c>
      <c r="C5" s="16">
        <f t="shared" si="0"/>
        <v>740</v>
      </c>
      <c r="D5" s="17">
        <f t="shared" si="1"/>
        <v>6.2939999999999996</v>
      </c>
      <c r="E5" s="17">
        <f t="shared" si="2"/>
        <v>346.4228</v>
      </c>
      <c r="F5" s="17">
        <f t="shared" si="3"/>
        <v>0.43880000000000002</v>
      </c>
      <c r="G5" s="17">
        <f t="shared" si="4"/>
        <v>1.2256000000000001E-3</v>
      </c>
      <c r="H5" s="18">
        <f t="shared" si="5"/>
        <v>0.98340000000000005</v>
      </c>
      <c r="I5" s="5">
        <f t="shared" si="6"/>
        <v>13.5</v>
      </c>
    </row>
    <row r="6" spans="1:17" x14ac:dyDescent="0.25">
      <c r="A6" s="15">
        <v>28.5</v>
      </c>
      <c r="B6" s="15">
        <v>0.74329999999999996</v>
      </c>
      <c r="C6" s="16">
        <f t="shared" si="0"/>
        <v>744</v>
      </c>
      <c r="D6" s="17">
        <f t="shared" si="1"/>
        <v>6.2939999999999996</v>
      </c>
      <c r="E6" s="17">
        <f t="shared" si="2"/>
        <v>346.4228</v>
      </c>
      <c r="F6" s="17">
        <f t="shared" si="3"/>
        <v>0.43880000000000002</v>
      </c>
      <c r="G6" s="17">
        <f t="shared" si="4"/>
        <v>1.2156000000000001E-3</v>
      </c>
      <c r="H6" s="18">
        <f t="shared" si="5"/>
        <v>0.98350000000000004</v>
      </c>
      <c r="I6" s="5">
        <f t="shared" si="6"/>
        <v>13.5</v>
      </c>
    </row>
    <row r="7" spans="1:17" x14ac:dyDescent="0.25">
      <c r="A7" s="15">
        <v>31.74</v>
      </c>
      <c r="B7" s="15">
        <v>0.78759999999999997</v>
      </c>
      <c r="C7" s="16">
        <f t="shared" si="0"/>
        <v>788</v>
      </c>
      <c r="D7" s="17">
        <f t="shared" si="1"/>
        <v>6.2930000000000001</v>
      </c>
      <c r="E7" s="17">
        <f t="shared" si="2"/>
        <v>594.54179999999997</v>
      </c>
      <c r="F7" s="17">
        <f t="shared" si="3"/>
        <v>0</v>
      </c>
      <c r="G7" s="17">
        <f>IF(AND(C7&lt;787.5,C7&gt;=770.5),ROUND(ROUND(ROUND(E7/C7,8)/C7,10)+F7,7),ROUND(ROUND(ROUND(E7/C7,8)/C7,10)+ROUND(F7/C7,10),7))</f>
        <v>9.5750000000000002E-4</v>
      </c>
      <c r="H7" s="18">
        <f t="shared" si="5"/>
        <v>0.9839</v>
      </c>
      <c r="I7" s="5">
        <f t="shared" si="6"/>
        <v>16.75</v>
      </c>
    </row>
    <row r="8" spans="1:17" x14ac:dyDescent="0.25">
      <c r="A8" s="6"/>
      <c r="B8" s="6"/>
      <c r="C8" s="7"/>
      <c r="D8" s="8"/>
      <c r="E8" s="8"/>
      <c r="F8" s="8"/>
      <c r="G8" s="8"/>
      <c r="H8" s="9"/>
      <c r="I8" s="10"/>
    </row>
    <row r="9" spans="1:17" x14ac:dyDescent="0.25">
      <c r="A9" s="52" t="s">
        <v>11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</sheetData>
  <mergeCells count="2">
    <mergeCell ref="A1:H1"/>
    <mergeCell ref="A9:Q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A3" sqref="A3"/>
    </sheetView>
  </sheetViews>
  <sheetFormatPr defaultColWidth="10.875" defaultRowHeight="16.5" x14ac:dyDescent="0.25"/>
  <cols>
    <col min="1" max="1" width="10.875" style="19"/>
    <col min="2" max="2" width="7.875" style="19" bestFit="1" customWidth="1"/>
    <col min="3" max="3" width="10.125" style="19" customWidth="1"/>
    <col min="4" max="4" width="9.375" style="19" customWidth="1"/>
    <col min="5" max="16384" width="10.875" style="19"/>
  </cols>
  <sheetData>
    <row r="2" spans="1:4" x14ac:dyDescent="0.25">
      <c r="A2" s="2"/>
      <c r="B2" s="53" t="s">
        <v>9</v>
      </c>
      <c r="C2" s="53"/>
      <c r="D2" s="53"/>
    </row>
    <row r="3" spans="1:4" ht="20.100000000000001" customHeight="1" x14ac:dyDescent="0.25">
      <c r="A3" s="11" t="s">
        <v>6</v>
      </c>
      <c r="B3" s="20">
        <v>0.78100000000000003</v>
      </c>
      <c r="C3" s="20">
        <v>0.78129999999999999</v>
      </c>
      <c r="D3" s="20">
        <v>0.78300000000000003</v>
      </c>
    </row>
    <row r="4" spans="1:4" ht="21" customHeight="1" x14ac:dyDescent="0.25">
      <c r="A4" s="2">
        <v>28.5</v>
      </c>
      <c r="B4" s="2">
        <v>0.79090000000000005</v>
      </c>
      <c r="C4" s="4">
        <f>B4+(D4-B4)*(C3-B3)/(D3-B3)</f>
        <v>0.79120000000000001</v>
      </c>
      <c r="D4" s="2">
        <v>0.79290000000000005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topLeftCell="B7" workbookViewId="0">
      <selection activeCell="G17" sqref="G17"/>
    </sheetView>
  </sheetViews>
  <sheetFormatPr defaultRowHeight="15.75" x14ac:dyDescent="0.25"/>
  <cols>
    <col min="4" max="4" width="11.75" bestFit="1" customWidth="1"/>
    <col min="9" max="9" width="10" style="39" bestFit="1" customWidth="1"/>
    <col min="12" max="12" width="10.5" style="39" customWidth="1"/>
    <col min="14" max="14" width="11" style="45" customWidth="1"/>
    <col min="15" max="15" width="10.375" style="50" bestFit="1" customWidth="1"/>
  </cols>
  <sheetData>
    <row r="1" spans="1:16" ht="93.75" customHeight="1" thickBot="1" x14ac:dyDescent="0.3">
      <c r="L1" s="47" t="s">
        <v>66</v>
      </c>
      <c r="M1" s="57" t="s">
        <v>68</v>
      </c>
      <c r="N1" s="57"/>
      <c r="O1" s="57"/>
      <c r="P1" s="57"/>
    </row>
    <row r="2" spans="1:16" ht="30.75" thickBot="1" x14ac:dyDescent="0.3">
      <c r="A2" s="21" t="s">
        <v>12</v>
      </c>
      <c r="B2" s="22" t="s">
        <v>13</v>
      </c>
      <c r="C2" s="22" t="s">
        <v>14</v>
      </c>
      <c r="D2" s="22" t="s">
        <v>15</v>
      </c>
      <c r="E2" s="22" t="s">
        <v>16</v>
      </c>
      <c r="F2" s="22" t="s">
        <v>6</v>
      </c>
      <c r="G2" s="22" t="s">
        <v>17</v>
      </c>
      <c r="H2" s="22" t="s">
        <v>18</v>
      </c>
      <c r="I2" s="36" t="s">
        <v>19</v>
      </c>
      <c r="J2" s="23" t="s">
        <v>20</v>
      </c>
      <c r="K2" s="23" t="s">
        <v>21</v>
      </c>
      <c r="L2" s="37" t="s">
        <v>22</v>
      </c>
      <c r="M2" s="33" t="s">
        <v>23</v>
      </c>
      <c r="N2" s="43" t="s">
        <v>64</v>
      </c>
      <c r="O2" s="48" t="s">
        <v>67</v>
      </c>
      <c r="P2" s="31" t="s">
        <v>65</v>
      </c>
    </row>
    <row r="3" spans="1:16" ht="30.75" thickBot="1" x14ac:dyDescent="0.3">
      <c r="A3" s="24">
        <v>2032766260</v>
      </c>
      <c r="B3" s="25" t="s">
        <v>24</v>
      </c>
      <c r="C3" s="25" t="s">
        <v>25</v>
      </c>
      <c r="D3" s="25" t="s">
        <v>26</v>
      </c>
      <c r="E3" s="25">
        <v>2</v>
      </c>
      <c r="F3" s="25" t="s">
        <v>27</v>
      </c>
      <c r="G3" s="25">
        <v>0.78759999999999997</v>
      </c>
      <c r="H3" s="26">
        <v>0.98460000000000003</v>
      </c>
      <c r="I3" s="40">
        <v>0.98450000000000004</v>
      </c>
      <c r="J3" s="27">
        <v>0.98429999999999995</v>
      </c>
      <c r="K3" s="32">
        <v>0.98460000000000003</v>
      </c>
      <c r="L3" s="34">
        <v>0.78600000000000003</v>
      </c>
      <c r="M3" s="42">
        <v>0.78800000000000003</v>
      </c>
      <c r="N3" s="44">
        <f>ABS(K3-J3)/(M3-L3)</f>
        <v>0.15000000000003885</v>
      </c>
      <c r="O3" s="49">
        <f>J3 + N3*(G3-L3)</f>
        <v>0.98453999999999997</v>
      </c>
      <c r="P3" s="46">
        <f>ROUND(O3,4)</f>
        <v>0.98450000000000004</v>
      </c>
    </row>
    <row r="4" spans="1:16" ht="30.75" thickBot="1" x14ac:dyDescent="0.3">
      <c r="A4" s="24">
        <v>2032766266</v>
      </c>
      <c r="B4" s="25" t="s">
        <v>28</v>
      </c>
      <c r="C4" s="25" t="s">
        <v>25</v>
      </c>
      <c r="D4" s="25" t="s">
        <v>26</v>
      </c>
      <c r="E4" s="25">
        <v>2</v>
      </c>
      <c r="F4" s="25" t="s">
        <v>29</v>
      </c>
      <c r="G4" s="25">
        <v>0.78759999999999997</v>
      </c>
      <c r="H4" s="26">
        <v>0.98460000000000003</v>
      </c>
      <c r="I4" s="40">
        <v>0.98399999999999999</v>
      </c>
      <c r="J4" s="27">
        <v>0.98429999999999995</v>
      </c>
      <c r="K4" s="32">
        <v>0.98460000000000003</v>
      </c>
      <c r="L4" s="34">
        <v>0.78600000000000003</v>
      </c>
      <c r="M4" s="42">
        <v>0.78800000000000003</v>
      </c>
      <c r="N4" s="44">
        <f t="shared" ref="N4:N13" si="0">ABS(K4-J4)/(M4-L4)</f>
        <v>0.15000000000003885</v>
      </c>
      <c r="O4" s="49">
        <f t="shared" ref="O4:O14" si="1">J4 + N4*(G4-L4)</f>
        <v>0.98453999999999997</v>
      </c>
      <c r="P4" s="46">
        <f t="shared" ref="P4:P14" si="2">ROUND(O4,4)</f>
        <v>0.98450000000000004</v>
      </c>
    </row>
    <row r="5" spans="1:16" ht="30.75" thickBot="1" x14ac:dyDescent="0.3">
      <c r="A5" s="24">
        <v>2032766261</v>
      </c>
      <c r="B5" s="25" t="s">
        <v>30</v>
      </c>
      <c r="C5" s="25" t="s">
        <v>31</v>
      </c>
      <c r="D5" s="25" t="s">
        <v>32</v>
      </c>
      <c r="E5" s="25">
        <v>3</v>
      </c>
      <c r="F5" s="25" t="s">
        <v>33</v>
      </c>
      <c r="G5" s="25">
        <v>0.78759999999999997</v>
      </c>
      <c r="H5" s="26">
        <v>0.98409999999999997</v>
      </c>
      <c r="I5" s="40">
        <v>0.98399999999999999</v>
      </c>
      <c r="J5" s="27">
        <v>0.98380000000000001</v>
      </c>
      <c r="K5" s="32">
        <v>0.98409999999999997</v>
      </c>
      <c r="L5" s="34">
        <v>0.78600000000000003</v>
      </c>
      <c r="M5" s="42">
        <v>0.78800000000000003</v>
      </c>
      <c r="N5" s="44">
        <f t="shared" si="0"/>
        <v>0.14999999999998334</v>
      </c>
      <c r="O5" s="49">
        <f t="shared" si="1"/>
        <v>0.98404000000000003</v>
      </c>
      <c r="P5" s="46">
        <f t="shared" si="2"/>
        <v>0.98399999999999999</v>
      </c>
    </row>
    <row r="6" spans="1:16" ht="30.75" thickBot="1" x14ac:dyDescent="0.3">
      <c r="A6" s="24">
        <v>2032766272</v>
      </c>
      <c r="B6" s="25" t="s">
        <v>34</v>
      </c>
      <c r="C6" s="25" t="s">
        <v>31</v>
      </c>
      <c r="D6" s="25" t="s">
        <v>32</v>
      </c>
      <c r="E6" s="25">
        <v>3</v>
      </c>
      <c r="F6" s="25" t="s">
        <v>35</v>
      </c>
      <c r="G6" s="25">
        <v>0.78759999999999997</v>
      </c>
      <c r="H6" s="26">
        <v>0.98409999999999997</v>
      </c>
      <c r="I6" s="40">
        <v>0.98399999999999999</v>
      </c>
      <c r="J6" s="27">
        <v>0.98380000000000001</v>
      </c>
      <c r="K6" s="32">
        <v>0.98409999999999997</v>
      </c>
      <c r="L6" s="34">
        <v>0.78600000000000003</v>
      </c>
      <c r="M6" s="42">
        <v>0.78800000000000003</v>
      </c>
      <c r="N6" s="44">
        <f t="shared" si="0"/>
        <v>0.14999999999998334</v>
      </c>
      <c r="O6" s="49">
        <f t="shared" si="1"/>
        <v>0.98404000000000003</v>
      </c>
      <c r="P6" s="46">
        <f t="shared" si="2"/>
        <v>0.98399999999999999</v>
      </c>
    </row>
    <row r="7" spans="1:16" ht="30.75" thickBot="1" x14ac:dyDescent="0.3">
      <c r="A7" s="24">
        <v>2032766278</v>
      </c>
      <c r="B7" s="25" t="s">
        <v>36</v>
      </c>
      <c r="C7" s="25" t="s">
        <v>37</v>
      </c>
      <c r="D7" s="25" t="s">
        <v>38</v>
      </c>
      <c r="E7" s="25">
        <v>3</v>
      </c>
      <c r="F7" s="25" t="s">
        <v>39</v>
      </c>
      <c r="G7" s="25">
        <v>0.78759999999999997</v>
      </c>
      <c r="H7" s="26">
        <v>0.9839</v>
      </c>
      <c r="I7" s="40">
        <v>0.98380000000000001</v>
      </c>
      <c r="J7" s="27">
        <v>0.98360000000000003</v>
      </c>
      <c r="K7" s="32">
        <v>0.9839</v>
      </c>
      <c r="L7" s="34">
        <v>0.78600000000000003</v>
      </c>
      <c r="M7" s="42">
        <v>0.78800000000000003</v>
      </c>
      <c r="N7" s="44">
        <f t="shared" si="0"/>
        <v>0.14999999999998334</v>
      </c>
      <c r="O7" s="49">
        <f t="shared" si="1"/>
        <v>0.98384000000000005</v>
      </c>
      <c r="P7" s="46">
        <f t="shared" si="2"/>
        <v>0.98380000000000001</v>
      </c>
    </row>
    <row r="8" spans="1:16" ht="30.75" thickBot="1" x14ac:dyDescent="0.3">
      <c r="A8" s="24">
        <v>2032766245</v>
      </c>
      <c r="B8" s="25" t="s">
        <v>40</v>
      </c>
      <c r="C8" s="25" t="s">
        <v>41</v>
      </c>
      <c r="D8" s="25" t="s">
        <v>42</v>
      </c>
      <c r="E8" s="25">
        <v>3</v>
      </c>
      <c r="F8" s="25" t="s">
        <v>43</v>
      </c>
      <c r="G8" s="25">
        <v>0.78759999999999997</v>
      </c>
      <c r="H8" s="26">
        <v>0.98360000000000003</v>
      </c>
      <c r="I8" s="40">
        <v>0.98350000000000004</v>
      </c>
      <c r="J8" s="27">
        <v>0.98329999999999995</v>
      </c>
      <c r="K8" s="32">
        <v>0.98360000000000003</v>
      </c>
      <c r="L8" s="34">
        <v>0.78600000000000003</v>
      </c>
      <c r="M8" s="42">
        <v>0.78800000000000003</v>
      </c>
      <c r="N8" s="44">
        <f t="shared" si="0"/>
        <v>0.15000000000003885</v>
      </c>
      <c r="O8" s="49">
        <f t="shared" si="1"/>
        <v>0.98353999999999997</v>
      </c>
      <c r="P8" s="46">
        <f t="shared" si="2"/>
        <v>0.98350000000000004</v>
      </c>
    </row>
    <row r="9" spans="1:16" ht="30.75" thickBot="1" x14ac:dyDescent="0.3">
      <c r="A9" s="24">
        <v>2032766242</v>
      </c>
      <c r="B9" s="25" t="s">
        <v>44</v>
      </c>
      <c r="C9" s="25" t="s">
        <v>45</v>
      </c>
      <c r="D9" s="25" t="s">
        <v>46</v>
      </c>
      <c r="E9" s="25">
        <v>3</v>
      </c>
      <c r="F9" s="25" t="s">
        <v>47</v>
      </c>
      <c r="G9" s="25">
        <v>0.78759999999999997</v>
      </c>
      <c r="H9" s="26">
        <v>0.98340000000000005</v>
      </c>
      <c r="I9" s="40">
        <v>0.98329999999999995</v>
      </c>
      <c r="J9" s="27">
        <v>0.98309999999999997</v>
      </c>
      <c r="K9" s="32">
        <v>0.98340000000000005</v>
      </c>
      <c r="L9" s="34">
        <v>0.78600000000000003</v>
      </c>
      <c r="M9" s="42">
        <v>0.78800000000000003</v>
      </c>
      <c r="N9" s="44">
        <f t="shared" si="0"/>
        <v>0.15000000000003885</v>
      </c>
      <c r="O9" s="49">
        <f t="shared" si="1"/>
        <v>0.98333999999999999</v>
      </c>
      <c r="P9" s="46">
        <f t="shared" si="2"/>
        <v>0.98329999999999995</v>
      </c>
    </row>
    <row r="10" spans="1:16" ht="30.75" thickBot="1" x14ac:dyDescent="0.3">
      <c r="A10" s="24">
        <v>2032766246</v>
      </c>
      <c r="B10" s="25" t="s">
        <v>48</v>
      </c>
      <c r="C10" s="25" t="s">
        <v>49</v>
      </c>
      <c r="D10" s="25" t="s">
        <v>50</v>
      </c>
      <c r="E10" s="25">
        <v>3</v>
      </c>
      <c r="F10" s="58" t="s">
        <v>51</v>
      </c>
      <c r="G10" s="25">
        <v>0.78759999999999997</v>
      </c>
      <c r="H10" s="26">
        <v>0.98319999999999996</v>
      </c>
      <c r="I10" s="40">
        <v>0.98309999999999997</v>
      </c>
      <c r="J10" s="27">
        <v>0.98280000000000001</v>
      </c>
      <c r="K10" s="32">
        <v>0.98319999999999996</v>
      </c>
      <c r="L10" s="34">
        <v>0.78600000000000003</v>
      </c>
      <c r="M10" s="42">
        <v>0.78800000000000003</v>
      </c>
      <c r="N10" s="44">
        <f t="shared" si="0"/>
        <v>0.19999999999997781</v>
      </c>
      <c r="O10" s="49">
        <f t="shared" si="1"/>
        <v>0.98311999999999999</v>
      </c>
      <c r="P10" s="46">
        <f t="shared" si="2"/>
        <v>0.98309999999999997</v>
      </c>
    </row>
    <row r="11" spans="1:16" ht="30.75" thickBot="1" x14ac:dyDescent="0.3">
      <c r="A11" s="24">
        <v>2032766282</v>
      </c>
      <c r="B11" s="25" t="s">
        <v>52</v>
      </c>
      <c r="C11" s="25" t="s">
        <v>53</v>
      </c>
      <c r="D11" s="25" t="s">
        <v>54</v>
      </c>
      <c r="E11" s="25">
        <v>3</v>
      </c>
      <c r="F11" s="25" t="s">
        <v>55</v>
      </c>
      <c r="G11" s="25">
        <v>0.78759999999999997</v>
      </c>
      <c r="H11" s="26">
        <v>0.9829</v>
      </c>
      <c r="I11" s="40">
        <v>0.98280000000000001</v>
      </c>
      <c r="J11" s="27">
        <v>0.98260000000000003</v>
      </c>
      <c r="K11" s="32">
        <v>0.9829</v>
      </c>
      <c r="L11" s="34">
        <v>0.78600000000000003</v>
      </c>
      <c r="M11" s="42">
        <v>0.78800000000000003</v>
      </c>
      <c r="N11" s="44">
        <f t="shared" si="0"/>
        <v>0.14999999999998334</v>
      </c>
      <c r="O11" s="49">
        <f t="shared" si="1"/>
        <v>0.98284000000000005</v>
      </c>
      <c r="P11" s="46">
        <f t="shared" si="2"/>
        <v>0.98280000000000001</v>
      </c>
    </row>
    <row r="12" spans="1:16" ht="30.75" thickBot="1" x14ac:dyDescent="0.3">
      <c r="A12" s="24">
        <v>2032766254</v>
      </c>
      <c r="B12" s="25" t="s">
        <v>56</v>
      </c>
      <c r="C12" s="25" t="s">
        <v>57</v>
      </c>
      <c r="D12" s="25" t="s">
        <v>58</v>
      </c>
      <c r="E12" s="25">
        <v>3</v>
      </c>
      <c r="F12" s="58" t="s">
        <v>59</v>
      </c>
      <c r="G12" s="25">
        <v>0.78759999999999997</v>
      </c>
      <c r="H12" s="26">
        <v>0.98150000000000004</v>
      </c>
      <c r="I12" s="40">
        <v>0.98140000000000005</v>
      </c>
      <c r="J12" s="27">
        <v>0.98109999999999997</v>
      </c>
      <c r="K12" s="32">
        <v>0.98150000000000004</v>
      </c>
      <c r="L12" s="34">
        <v>0.78600000000000003</v>
      </c>
      <c r="M12" s="42">
        <v>0.78800000000000003</v>
      </c>
      <c r="N12" s="44">
        <f t="shared" si="0"/>
        <v>0.20000000000003332</v>
      </c>
      <c r="O12" s="49">
        <f t="shared" si="1"/>
        <v>0.98141999999999996</v>
      </c>
      <c r="P12" s="46">
        <f t="shared" si="2"/>
        <v>0.98140000000000005</v>
      </c>
    </row>
    <row r="13" spans="1:16" ht="30.75" thickBot="1" x14ac:dyDescent="0.3">
      <c r="A13" s="24">
        <v>2032766253</v>
      </c>
      <c r="B13" s="25" t="s">
        <v>28</v>
      </c>
      <c r="C13" s="25" t="s">
        <v>60</v>
      </c>
      <c r="D13" s="25" t="s">
        <v>61</v>
      </c>
      <c r="E13" s="25">
        <v>2</v>
      </c>
      <c r="F13" s="25" t="s">
        <v>62</v>
      </c>
      <c r="G13" s="25">
        <v>0.78759999999999997</v>
      </c>
      <c r="H13" s="26">
        <v>0.98119999999999996</v>
      </c>
      <c r="I13" s="40">
        <v>0.98109999999999997</v>
      </c>
      <c r="J13" s="27">
        <v>0.98089999999999999</v>
      </c>
      <c r="K13" s="32">
        <v>0.98119999999999996</v>
      </c>
      <c r="L13" s="34">
        <v>0.78600000000000003</v>
      </c>
      <c r="M13" s="42">
        <v>0.78800000000000003</v>
      </c>
      <c r="N13" s="44">
        <f t="shared" si="0"/>
        <v>0.14999999999998334</v>
      </c>
      <c r="O13" s="49">
        <f t="shared" si="1"/>
        <v>0.98114000000000001</v>
      </c>
      <c r="P13" s="46">
        <f t="shared" si="2"/>
        <v>0.98109999999999997</v>
      </c>
    </row>
    <row r="14" spans="1:16" ht="16.5" thickBot="1" x14ac:dyDescent="0.3">
      <c r="A14" s="54" t="s">
        <v>63</v>
      </c>
      <c r="B14" s="55"/>
      <c r="C14" s="55"/>
      <c r="D14" s="56"/>
      <c r="E14" s="25">
        <v>30</v>
      </c>
      <c r="F14" s="25"/>
      <c r="G14" s="25"/>
      <c r="H14" s="25"/>
      <c r="I14" s="41"/>
      <c r="J14" s="28"/>
      <c r="K14" s="30"/>
      <c r="L14" s="38"/>
      <c r="M14" s="35"/>
      <c r="N14" s="44"/>
      <c r="O14" s="49">
        <f t="shared" si="1"/>
        <v>0</v>
      </c>
      <c r="P14" s="46">
        <f t="shared" si="2"/>
        <v>0</v>
      </c>
    </row>
    <row r="15" spans="1:16" x14ac:dyDescent="0.25">
      <c r="A15" s="29"/>
    </row>
    <row r="16" spans="1:16" x14ac:dyDescent="0.25">
      <c r="A16" s="29"/>
    </row>
  </sheetData>
  <mergeCells count="2">
    <mergeCell ref="A14:D14"/>
    <mergeCell ref="M1:P1"/>
  </mergeCells>
  <pageMargins left="0.7" right="0.7" top="0.75" bottom="0.75" header="0.3" footer="0.3"/>
  <pageSetup paperSize="13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Tính VCF (tương tự như tra 54B)</vt:lpstr>
      <vt:lpstr>Bảng tra D15 (Bảng 53B)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Tung, Nguyen Huy (KV2)</dc:creator>
  <cp:lastModifiedBy>ANH QH</cp:lastModifiedBy>
  <dcterms:created xsi:type="dcterms:W3CDTF">2017-11-01T03:34:35Z</dcterms:created>
  <dcterms:modified xsi:type="dcterms:W3CDTF">2020-07-01T07:16:37Z</dcterms:modified>
</cp:coreProperties>
</file>