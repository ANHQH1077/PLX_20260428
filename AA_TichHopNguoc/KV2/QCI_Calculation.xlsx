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\Desktop\"/>
    </mc:Choice>
  </mc:AlternateContent>
  <bookViews>
    <workbookView xWindow="720" yWindow="330" windowWidth="18000" windowHeight="11535"/>
  </bookViews>
  <sheets>
    <sheet name="Tính VCF (tương tự như tra 54B)" sheetId="1" r:id="rId1"/>
    <sheet name="Bảng tra D15 (Bảng 53B)" sheetId="3" r:id="rId2"/>
  </sheets>
  <calcPr calcId="162913"/>
</workbook>
</file>

<file path=xl/calcChain.xml><?xml version="1.0" encoding="utf-8"?>
<calcChain xmlns="http://schemas.openxmlformats.org/spreadsheetml/2006/main">
  <c r="C4" i="3" l="1"/>
  <c r="C4" i="1" l="1"/>
  <c r="F4" i="1" s="1"/>
  <c r="I4" i="1"/>
  <c r="C5" i="1"/>
  <c r="E5" i="1" s="1"/>
  <c r="I5" i="1"/>
  <c r="C6" i="1"/>
  <c r="E6" i="1" s="1"/>
  <c r="I6" i="1"/>
  <c r="C7" i="1"/>
  <c r="F7" i="1" s="1"/>
  <c r="I7" i="1"/>
  <c r="I3" i="1"/>
  <c r="C3" i="1"/>
  <c r="F6" i="1" l="1"/>
  <c r="G6" i="1" s="1"/>
  <c r="H6" i="1" s="1"/>
  <c r="F5" i="1"/>
  <c r="G5" i="1"/>
  <c r="H5" i="1" s="1"/>
  <c r="D5" i="1"/>
  <c r="E4" i="1"/>
  <c r="G4" i="1" s="1"/>
  <c r="H4" i="1" s="1"/>
  <c r="D4" i="1"/>
  <c r="E7" i="1"/>
  <c r="G7" i="1" s="1"/>
  <c r="H7" i="1" s="1"/>
  <c r="D6" i="1"/>
  <c r="D7" i="1"/>
  <c r="E3" i="1"/>
  <c r="G3" i="1" s="1"/>
  <c r="H3" i="1" s="1"/>
  <c r="F3" i="1"/>
  <c r="D3" i="1"/>
</calcChain>
</file>

<file path=xl/sharedStrings.xml><?xml version="1.0" encoding="utf-8"?>
<sst xmlns="http://schemas.openxmlformats.org/spreadsheetml/2006/main" count="13" uniqueCount="12">
  <si>
    <t>R</t>
  </si>
  <si>
    <t>R1</t>
  </si>
  <si>
    <t>K</t>
  </si>
  <si>
    <t>L</t>
  </si>
  <si>
    <t>A</t>
  </si>
  <si>
    <t>P</t>
  </si>
  <si>
    <t>Nhiệt độ</t>
  </si>
  <si>
    <t>Tỷ trọng.</t>
  </si>
  <si>
    <t>Bảng tra VCF</t>
  </si>
  <si>
    <t>Dtt</t>
  </si>
  <si>
    <r>
      <t>VCF</t>
    </r>
    <r>
      <rPr>
        <b/>
        <vertAlign val="subscript"/>
        <sz val="13"/>
        <rFont val="Arial"/>
        <family val="2"/>
      </rPr>
      <t xml:space="preserve"> int</t>
    </r>
  </si>
  <si>
    <t>Ghi chú: Chỉ cần nhập nhiệt độ và Tỷ trọng 15, V.C.F sẽ tra tự động theo bảng tra 54B.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</si>
</sst>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2"/>
      <color theme="1"/>
      <name val="Times New Roman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color indexed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vertAlign val="subscript"/>
      <sz val="13"/>
      <name val="Arial"/>
      <family val="2"/>
    </font>
    <font>
      <i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64" fontId="4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  <xf numFmtId="1" fontId="4" fillId="0" borderId="2" xfId="0" applyNumberFormat="1" applyFont="1" applyFill="1" applyBorder="1" applyAlignment="1" applyProtection="1">
      <alignment horizontal="right" vertical="center"/>
    </xf>
    <xf numFmtId="0" fontId="4" fillId="0" borderId="2" xfId="0" applyFont="1" applyFill="1" applyBorder="1" applyAlignment="1" applyProtection="1">
      <alignment horizontal="right" vertical="center"/>
    </xf>
    <xf numFmtId="164" fontId="4" fillId="0" borderId="2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A9" sqref="A9:Q9"/>
    </sheetView>
  </sheetViews>
  <sheetFormatPr defaultColWidth="8.625" defaultRowHeight="16.5" x14ac:dyDescent="0.25"/>
  <cols>
    <col min="1" max="1" width="9.625" style="1" customWidth="1"/>
    <col min="2" max="2" width="10.875" style="1" customWidth="1"/>
    <col min="3" max="7" width="0" style="1" hidden="1" customWidth="1"/>
    <col min="8" max="8" width="11.625" style="1" customWidth="1"/>
    <col min="9" max="9" width="0" style="1" hidden="1" customWidth="1"/>
    <col min="10" max="16384" width="8.625" style="1"/>
  </cols>
  <sheetData>
    <row r="1" spans="1:17" ht="31.5" customHeight="1" x14ac:dyDescent="0.25">
      <c r="A1" s="21" t="s">
        <v>8</v>
      </c>
      <c r="B1" s="21"/>
      <c r="C1" s="21"/>
      <c r="D1" s="21"/>
      <c r="E1" s="21"/>
      <c r="F1" s="21"/>
      <c r="G1" s="21"/>
      <c r="H1" s="21"/>
    </row>
    <row r="2" spans="1:17" ht="26.45" customHeight="1" x14ac:dyDescent="0.25">
      <c r="A2" s="12" t="s">
        <v>6</v>
      </c>
      <c r="B2" s="12" t="s">
        <v>7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4" t="s">
        <v>10</v>
      </c>
      <c r="I2" s="3" t="s">
        <v>5</v>
      </c>
    </row>
    <row r="3" spans="1:17" x14ac:dyDescent="0.25">
      <c r="A3" s="15">
        <v>29</v>
      </c>
      <c r="B3" s="15">
        <v>0.74319999999999997</v>
      </c>
      <c r="C3" s="16">
        <f>ROUND(B3/2*1000,0)*2</f>
        <v>744</v>
      </c>
      <c r="D3" s="17">
        <f>IF(C3&gt;=906,6.292,IF(C3&gt;=766,6.293,IF(C3&gt;=687,6.294,IF(C3&gt;=624,6.295,0))))</f>
        <v>6.2939999999999996</v>
      </c>
      <c r="E3" s="17">
        <f>IF(C3&lt;770.5,346.4228,IF(C3&lt;787.5,2680.3206,IF(C3&lt;838.5,594.5418,186.9696)))</f>
        <v>346.4228</v>
      </c>
      <c r="F3" s="17">
        <f>IF(C3&lt;770.5,0.4388,IF(C3&lt;787.5,-0.00336312,IF(C3&lt;838.5,0,0.4862)))</f>
        <v>0.43880000000000002</v>
      </c>
      <c r="G3" s="17">
        <f>IF(AND(C3&lt;787.5,C3&gt;=770.5),ROUND(ROUND(ROUND(E3/C3,8)/C3,10)+F3,7),ROUND(ROUND(ROUND(E3/C3,8)/C3,10)+ROUND(F3/C3,10),7))</f>
        <v>1.2156000000000001E-3</v>
      </c>
      <c r="H3" s="18">
        <f>IF(A3="","",ROUND(EXP(ROUND(-G3*I3*(1+0.8*G3*I3),8)),4))</f>
        <v>0.9829</v>
      </c>
      <c r="I3" s="5">
        <f>ROUND(A3*4,0)/4-15</f>
        <v>14</v>
      </c>
    </row>
    <row r="4" spans="1:17" x14ac:dyDescent="0.25">
      <c r="A4" s="15">
        <v>28.5</v>
      </c>
      <c r="B4" s="15">
        <v>0.74280000000000002</v>
      </c>
      <c r="C4" s="16">
        <f t="shared" ref="C4:C7" si="0">ROUND(B4/2*1000,0)*2</f>
        <v>742</v>
      </c>
      <c r="D4" s="17">
        <f t="shared" ref="D4:D7" si="1">IF(C4&gt;=906,6.292,IF(C4&gt;=766,6.293,IF(C4&gt;=687,6.294,IF(C4&gt;=624,6.295,0))))</f>
        <v>6.2939999999999996</v>
      </c>
      <c r="E4" s="17">
        <f t="shared" ref="E4:E7" si="2">IF(C4&lt;770.5,346.4228,IF(C4&lt;787.5,2680.3206,IF(C4&lt;838.5,594.5418,186.9696)))</f>
        <v>346.4228</v>
      </c>
      <c r="F4" s="17">
        <f t="shared" ref="F4:F7" si="3">IF(C4&lt;770.5,0.4388,IF(C4&lt;787.5,-0.00336312,IF(C4&lt;838.5,0,0.4862)))</f>
        <v>0.43880000000000002</v>
      </c>
      <c r="G4" s="17">
        <f t="shared" ref="G4:G7" si="4">IF(AND(C4&lt;787.5,C4&gt;=770.5),ROUND(ROUND(ROUND(E4/C4,8)/C4,10)+F4,7),ROUND(ROUND(ROUND(E4/C4,8)/C4,10)+ROUND(F4/C4,10),7))</f>
        <v>1.2206000000000001E-3</v>
      </c>
      <c r="H4" s="18">
        <f t="shared" ref="H4:H7" si="5">IF(A4="","",ROUND(EXP(ROUND(-G4*I4*(1+0.8*G4*I4),8)),4))</f>
        <v>0.98340000000000005</v>
      </c>
      <c r="I4" s="5">
        <f t="shared" ref="I4:I7" si="6">ROUND(A4*4,0)/4-15</f>
        <v>13.5</v>
      </c>
    </row>
    <row r="5" spans="1:17" x14ac:dyDescent="0.25">
      <c r="A5" s="15">
        <v>28.5</v>
      </c>
      <c r="B5" s="15">
        <v>0.74060000000000004</v>
      </c>
      <c r="C5" s="16">
        <f t="shared" si="0"/>
        <v>740</v>
      </c>
      <c r="D5" s="17">
        <f t="shared" si="1"/>
        <v>6.2939999999999996</v>
      </c>
      <c r="E5" s="17">
        <f t="shared" si="2"/>
        <v>346.4228</v>
      </c>
      <c r="F5" s="17">
        <f t="shared" si="3"/>
        <v>0.43880000000000002</v>
      </c>
      <c r="G5" s="17">
        <f t="shared" si="4"/>
        <v>1.2256000000000001E-3</v>
      </c>
      <c r="H5" s="18">
        <f t="shared" si="5"/>
        <v>0.98340000000000005</v>
      </c>
      <c r="I5" s="5">
        <f t="shared" si="6"/>
        <v>13.5</v>
      </c>
    </row>
    <row r="6" spans="1:17" x14ac:dyDescent="0.25">
      <c r="A6" s="15">
        <v>28.5</v>
      </c>
      <c r="B6" s="15">
        <v>0.74329999999999996</v>
      </c>
      <c r="C6" s="16">
        <f t="shared" si="0"/>
        <v>744</v>
      </c>
      <c r="D6" s="17">
        <f t="shared" si="1"/>
        <v>6.2939999999999996</v>
      </c>
      <c r="E6" s="17">
        <f t="shared" si="2"/>
        <v>346.4228</v>
      </c>
      <c r="F6" s="17">
        <f t="shared" si="3"/>
        <v>0.43880000000000002</v>
      </c>
      <c r="G6" s="17">
        <f t="shared" si="4"/>
        <v>1.2156000000000001E-3</v>
      </c>
      <c r="H6" s="18">
        <f t="shared" si="5"/>
        <v>0.98350000000000004</v>
      </c>
      <c r="I6" s="5">
        <f t="shared" si="6"/>
        <v>13.5</v>
      </c>
    </row>
    <row r="7" spans="1:17" x14ac:dyDescent="0.25">
      <c r="A7" s="15">
        <v>28.53</v>
      </c>
      <c r="B7" s="15">
        <v>0.74299999999999999</v>
      </c>
      <c r="C7" s="16">
        <f t="shared" si="0"/>
        <v>744</v>
      </c>
      <c r="D7" s="17">
        <f t="shared" si="1"/>
        <v>6.2939999999999996</v>
      </c>
      <c r="E7" s="17">
        <f t="shared" si="2"/>
        <v>346.4228</v>
      </c>
      <c r="F7" s="17">
        <f t="shared" si="3"/>
        <v>0.43880000000000002</v>
      </c>
      <c r="G7" s="17">
        <f t="shared" si="4"/>
        <v>1.2156000000000001E-3</v>
      </c>
      <c r="H7" s="18">
        <f t="shared" si="5"/>
        <v>0.98350000000000004</v>
      </c>
      <c r="I7" s="5">
        <f t="shared" si="6"/>
        <v>13.5</v>
      </c>
    </row>
    <row r="8" spans="1:17" x14ac:dyDescent="0.25">
      <c r="A8" s="6"/>
      <c r="B8" s="6"/>
      <c r="C8" s="7"/>
      <c r="D8" s="8"/>
      <c r="E8" s="8"/>
      <c r="F8" s="8"/>
      <c r="G8" s="8"/>
      <c r="H8" s="9"/>
      <c r="I8" s="10"/>
    </row>
    <row r="9" spans="1:17" x14ac:dyDescent="0.25">
      <c r="A9" s="22" t="s">
        <v>11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</sheetData>
  <mergeCells count="2">
    <mergeCell ref="A1:H1"/>
    <mergeCell ref="A9:Q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A3" sqref="A3"/>
    </sheetView>
  </sheetViews>
  <sheetFormatPr defaultColWidth="10.875" defaultRowHeight="16.5" x14ac:dyDescent="0.25"/>
  <cols>
    <col min="1" max="1" width="10.875" style="19"/>
    <col min="2" max="2" width="7.875" style="19" bestFit="1" customWidth="1"/>
    <col min="3" max="3" width="10.125" style="19" customWidth="1"/>
    <col min="4" max="4" width="9.375" style="19" customWidth="1"/>
    <col min="5" max="16384" width="10.875" style="19"/>
  </cols>
  <sheetData>
    <row r="2" spans="1:4" x14ac:dyDescent="0.25">
      <c r="A2" s="2"/>
      <c r="B2" s="23" t="s">
        <v>9</v>
      </c>
      <c r="C2" s="23"/>
      <c r="D2" s="23"/>
    </row>
    <row r="3" spans="1:4" ht="20.100000000000001" customHeight="1" x14ac:dyDescent="0.25">
      <c r="A3" s="11" t="s">
        <v>6</v>
      </c>
      <c r="B3" s="20">
        <v>0.78100000000000003</v>
      </c>
      <c r="C3" s="20">
        <v>0.78129999999999999</v>
      </c>
      <c r="D3" s="20">
        <v>0.78300000000000003</v>
      </c>
    </row>
    <row r="4" spans="1:4" ht="21" customHeight="1" x14ac:dyDescent="0.25">
      <c r="A4" s="2">
        <v>28.5</v>
      </c>
      <c r="B4" s="2">
        <v>0.79090000000000005</v>
      </c>
      <c r="C4" s="4">
        <f>B4+(D4-B4)*(C3-B3)/(D3-B3)</f>
        <v>0.79120000000000001</v>
      </c>
      <c r="D4" s="2">
        <v>0.79290000000000005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Tính VCF (tương tự như tra 54B)</vt:lpstr>
      <vt:lpstr>Bảng tra D15 (Bảng 53B)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Tung, Nguyen Huy (KV2)</dc:creator>
  <cp:lastModifiedBy>Tam</cp:lastModifiedBy>
  <dcterms:created xsi:type="dcterms:W3CDTF">2017-11-01T03:34:35Z</dcterms:created>
  <dcterms:modified xsi:type="dcterms:W3CDTF">2017-12-26T03:16:04Z</dcterms:modified>
</cp:coreProperties>
</file>